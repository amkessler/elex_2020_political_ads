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GITREPOS\bb_kessler\admo_tvads_coronavirus\images\"/>
    </mc:Choice>
  </mc:AlternateContent>
  <xr:revisionPtr revIDLastSave="0" documentId="13_ncr:1_{F0972D3C-3A73-4C4C-9E37-9FC30299F470}" xr6:coauthVersionLast="44" xr6:coauthVersionMax="44" xr10:uidLastSave="{00000000-0000-0000-0000-000000000000}"/>
  <bookViews>
    <workbookView xWindow="4240" yWindow="1530" windowWidth="20070" windowHeight="15450" activeTab="1" xr2:uid="{FE360B56-040E-4C21-9B0B-C517056CF4B3}"/>
  </bookViews>
  <sheets>
    <sheet name="Sheet2" sheetId="2" r:id="rId1"/>
    <sheet name="Sheet3" sheetId="3" r:id="rId2"/>
    <sheet name="Sheet1" sheetId="1" r:id="rId3"/>
  </sheets>
  <calcPr calcId="191029"/>
  <pivotCaches>
    <pivotCache cacheId="2" r:id="rId4"/>
    <pivotCache cacheId="5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2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" i="1"/>
</calcChain>
</file>

<file path=xl/sharedStrings.xml><?xml version="1.0" encoding="utf-8"?>
<sst xmlns="http://schemas.openxmlformats.org/spreadsheetml/2006/main" count="84" uniqueCount="81">
  <si>
    <t>March 16, 2020</t>
  </si>
  <si>
    <t>March 17, 2020</t>
  </si>
  <si>
    <t>March 18, 2020</t>
  </si>
  <si>
    <t>March 19, 2020</t>
  </si>
  <si>
    <t>March 20, 2020</t>
  </si>
  <si>
    <t>March 21, 2020</t>
  </si>
  <si>
    <t>March 22, 2020</t>
  </si>
  <si>
    <t>March 23, 2020</t>
  </si>
  <si>
    <t>March 24, 2020</t>
  </si>
  <si>
    <t>March 25, 2020</t>
  </si>
  <si>
    <t>March 26, 2020</t>
  </si>
  <si>
    <t>March 27, 2020</t>
  </si>
  <si>
    <t>March 28, 2020</t>
  </si>
  <si>
    <t>March 29, 2020</t>
  </si>
  <si>
    <t>March 30, 2020</t>
  </si>
  <si>
    <t>March 31, 2020</t>
  </si>
  <si>
    <t>April 1, 2020</t>
  </si>
  <si>
    <t>April 2, 2020</t>
  </si>
  <si>
    <t>April 3, 2020</t>
  </si>
  <si>
    <t>April 4, 2020</t>
  </si>
  <si>
    <t>April 5, 2020</t>
  </si>
  <si>
    <t>April 6, 2020</t>
  </si>
  <si>
    <t>April 7, 2020</t>
  </si>
  <si>
    <t>April 8, 2020</t>
  </si>
  <si>
    <t>April 9, 2020</t>
  </si>
  <si>
    <t>April 10, 2020</t>
  </si>
  <si>
    <t>April 11, 2020</t>
  </si>
  <si>
    <t>April 12, 2020</t>
  </si>
  <si>
    <t>April 13, 2020</t>
  </si>
  <si>
    <t>April 14, 2020</t>
  </si>
  <si>
    <t>April 15, 2020</t>
  </si>
  <si>
    <t>April 16, 2020</t>
  </si>
  <si>
    <t>April 17, 2020</t>
  </si>
  <si>
    <t>April 18, 2020</t>
  </si>
  <si>
    <t>April 19, 2020</t>
  </si>
  <si>
    <t>April 20, 2020</t>
  </si>
  <si>
    <t>April 21, 2020</t>
  </si>
  <si>
    <t>April 22, 2020</t>
  </si>
  <si>
    <t>April 23, 2020</t>
  </si>
  <si>
    <t>April 24, 2020</t>
  </si>
  <si>
    <t>April 25, 2020</t>
  </si>
  <si>
    <t>April 26, 2020</t>
  </si>
  <si>
    <t>April 27, 2020</t>
  </si>
  <si>
    <t>April 28, 2020</t>
  </si>
  <si>
    <t>April 29, 2020</t>
  </si>
  <si>
    <t>April 30, 2020</t>
  </si>
  <si>
    <t>May 1, 2020</t>
  </si>
  <si>
    <t>May 2, 2020</t>
  </si>
  <si>
    <t>May 3, 2020</t>
  </si>
  <si>
    <t>May 4, 2020</t>
  </si>
  <si>
    <t>May 5, 2020</t>
  </si>
  <si>
    <t>May 6, 2020</t>
  </si>
  <si>
    <t>May 7, 2020</t>
  </si>
  <si>
    <t>May 8, 2020</t>
  </si>
  <si>
    <t>May 9, 2020</t>
  </si>
  <si>
    <t>May 10, 2020</t>
  </si>
  <si>
    <t>May 11, 2020</t>
  </si>
  <si>
    <t>May 12, 2020</t>
  </si>
  <si>
    <t>May 13, 2020</t>
  </si>
  <si>
    <t>May 14, 2020</t>
  </si>
  <si>
    <t>May 15, 2020</t>
  </si>
  <si>
    <t>May 16, 2020</t>
  </si>
  <si>
    <t>May 17, 2020</t>
  </si>
  <si>
    <t>May 18, 2020</t>
  </si>
  <si>
    <t>May 19, 2020</t>
  </si>
  <si>
    <t>May 20, 2020</t>
  </si>
  <si>
    <t>May 21, 2020</t>
  </si>
  <si>
    <t>May 22, 2020</t>
  </si>
  <si>
    <t>May 23, 2020</t>
  </si>
  <si>
    <t>May 24, 2020</t>
  </si>
  <si>
    <t>May 25, 2020</t>
  </si>
  <si>
    <t>May 26, 2020</t>
  </si>
  <si>
    <t>pct</t>
  </si>
  <si>
    <t>airdate</t>
  </si>
  <si>
    <t>mark</t>
  </si>
  <si>
    <t>Row Labels</t>
  </si>
  <si>
    <t>X</t>
  </si>
  <si>
    <t>Grand Total</t>
  </si>
  <si>
    <t>Count of mark</t>
  </si>
  <si>
    <t>mark40</t>
  </si>
  <si>
    <t>Count of mark40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</si>
</sst>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rgb="FF666666"/>
      <name val="Arial"/>
      <family val="2"/>
    </font>
    <font>
      <sz val="9"/>
      <color rgb="FF333333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">
    <xf numFmtId="0" fontId="0" fillId="0" borderId="0" xfId="0"/>
    <xf numFmtId="0" fontId="3" fillId="0" borderId="0" xfId="0" quotePrefix="1" applyFont="1" applyAlignment="1">
      <alignment horizontal="left"/>
    </xf>
    <xf numFmtId="0" fontId="2" fillId="0" borderId="0" xfId="0" quotePrefix="1" applyFont="1" applyAlignment="1">
      <alignment horizontal="left" vertical="top"/>
    </xf>
    <xf numFmtId="10" fontId="2" fillId="0" borderId="0" xfId="1" quotePrefix="1" applyNumberFormat="1" applyFont="1" applyAlignment="1">
      <alignment horizontal="center"/>
    </xf>
    <xf numFmtId="10" fontId="3" fillId="0" borderId="0" xfId="1" applyNumberFormat="1" applyFont="1" applyAlignment="1">
      <alignment vertical="center"/>
    </xf>
    <xf numFmtId="10" fontId="0" fillId="0" borderId="0" xfId="1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essler, Aaron" refreshedDate="43977.726750925925" createdVersion="6" refreshedVersion="6" minRefreshableVersion="3" recordCount="72" xr:uid="{E8904D92-CE98-4458-AC5C-4897827193DB}">
  <cacheSource type="worksheet">
    <worksheetSource ref="A1:C73" sheet="Sheet1"/>
  </cacheSource>
  <cacheFields count="3">
    <cacheField name="airdate" numFmtId="0">
      <sharedItems/>
    </cacheField>
    <cacheField name="pct" numFmtId="10">
      <sharedItems containsString="0" containsBlank="1" containsNumber="1" minValue="1.3688629311918233E-2" maxValue="0.66225749559082892"/>
    </cacheField>
    <cacheField name="mark" numFmtId="0">
      <sharedItems count="2">
        <s v=""/>
        <s v="X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essler, Aaron" refreshedDate="43977.731290162039" createdVersion="6" refreshedVersion="6" minRefreshableVersion="3" recordCount="72" xr:uid="{60678B95-71FC-4A7D-905A-156708D86E4A}">
  <cacheSource type="worksheet">
    <worksheetSource ref="A1:D73" sheet="Sheet1"/>
  </cacheSource>
  <cacheFields count="4">
    <cacheField name="airdate" numFmtId="0">
      <sharedItems/>
    </cacheField>
    <cacheField name="pct" numFmtId="10">
      <sharedItems containsString="0" containsBlank="1" containsNumber="1" minValue="1.3688629311918233E-2" maxValue="0.66225749559082892"/>
    </cacheField>
    <cacheField name="mark" numFmtId="0">
      <sharedItems/>
    </cacheField>
    <cacheField name="mark40" numFmtId="0">
      <sharedItems count="2">
        <s v=""/>
        <s v="X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2">
  <r>
    <s v="March 16, 2020"/>
    <n v="1.635805975235715E-2"/>
    <x v="0"/>
  </r>
  <r>
    <s v="March 17, 2020"/>
    <n v="1.3688629311918233E-2"/>
    <x v="0"/>
  </r>
  <r>
    <s v="March 18, 2020"/>
    <n v="1.5063731170336037E-2"/>
    <x v="0"/>
  </r>
  <r>
    <s v="March 19, 2020"/>
    <m/>
    <x v="0"/>
  </r>
  <r>
    <s v="March 20, 2020"/>
    <n v="1.5405224380442064E-2"/>
    <x v="0"/>
  </r>
  <r>
    <s v="March 21, 2020"/>
    <n v="1.9578313253012049E-2"/>
    <x v="0"/>
  </r>
  <r>
    <s v="March 22, 2020"/>
    <n v="2.4577572964669739E-2"/>
    <x v="0"/>
  </r>
  <r>
    <s v="March 23, 2020"/>
    <n v="6.1876247504990017E-2"/>
    <x v="0"/>
  </r>
  <r>
    <s v="March 24, 2020"/>
    <n v="0.31039426523297492"/>
    <x v="0"/>
  </r>
  <r>
    <s v="March 25, 2020"/>
    <n v="0.37702790395846852"/>
    <x v="0"/>
  </r>
  <r>
    <s v="March 26, 2020"/>
    <n v="0.49188584219362058"/>
    <x v="0"/>
  </r>
  <r>
    <s v="March 27, 2020"/>
    <n v="0.53228726614363309"/>
    <x v="1"/>
  </r>
  <r>
    <s v="March 28, 2020"/>
    <n v="0.57503949447077407"/>
    <x v="1"/>
  </r>
  <r>
    <s v="March 29, 2020"/>
    <n v="0.56657963446475201"/>
    <x v="1"/>
  </r>
  <r>
    <s v="March 30, 2020"/>
    <n v="0.54993834771886563"/>
    <x v="1"/>
  </r>
  <r>
    <s v="March 31, 2020"/>
    <n v="0.54341926729986434"/>
    <x v="1"/>
  </r>
  <r>
    <s v="April 1, 2020"/>
    <n v="0.625"/>
    <x v="1"/>
  </r>
  <r>
    <s v="April 2, 2020"/>
    <n v="0.64861205145565337"/>
    <x v="1"/>
  </r>
  <r>
    <s v="April 3, 2020"/>
    <n v="0.56838905775075987"/>
    <x v="1"/>
  </r>
  <r>
    <s v="April 4, 2020"/>
    <n v="0.56910569105691056"/>
    <x v="1"/>
  </r>
  <r>
    <s v="April 5, 2020"/>
    <n v="0.56218274111675126"/>
    <x v="1"/>
  </r>
  <r>
    <s v="April 6, 2020"/>
    <n v="0.55337690631808278"/>
    <x v="1"/>
  </r>
  <r>
    <s v="April 7, 2020"/>
    <n v="0.54563258911085"/>
    <x v="1"/>
  </r>
  <r>
    <s v="April 8, 2020"/>
    <n v="0.49085985104942453"/>
    <x v="0"/>
  </r>
  <r>
    <s v="April 9, 2020"/>
    <n v="0.49636963696369635"/>
    <x v="0"/>
  </r>
  <r>
    <s v="April 10, 2020"/>
    <n v="0.47429519071310117"/>
    <x v="0"/>
  </r>
  <r>
    <s v="April 11, 2020"/>
    <n v="0.48363095238095238"/>
    <x v="0"/>
  </r>
  <r>
    <s v="April 12, 2020"/>
    <n v="0.45145018915510721"/>
    <x v="0"/>
  </r>
  <r>
    <s v="April 13, 2020"/>
    <n v="0.54874999999999996"/>
    <x v="1"/>
  </r>
  <r>
    <s v="April 14, 2020"/>
    <n v="0.58694287507846832"/>
    <x v="1"/>
  </r>
  <r>
    <s v="April 15, 2020"/>
    <n v="0.57126236183827805"/>
    <x v="1"/>
  </r>
  <r>
    <s v="April 16, 2020"/>
    <n v="0.5156462585034014"/>
    <x v="1"/>
  </r>
  <r>
    <s v="April 17, 2020"/>
    <n v="0.60114404576183045"/>
    <x v="1"/>
  </r>
  <r>
    <s v="April 18, 2020"/>
    <n v="0.60053262316910783"/>
    <x v="1"/>
  </r>
  <r>
    <s v="April 19, 2020"/>
    <n v="0.66225749559082892"/>
    <x v="1"/>
  </r>
  <r>
    <s v="April 20, 2020"/>
    <n v="0.61378999549346558"/>
    <x v="1"/>
  </r>
  <r>
    <s v="April 21, 2020"/>
    <n v="0.60665137614678899"/>
    <x v="1"/>
  </r>
  <r>
    <s v="April 22, 2020"/>
    <n v="0.59403832505322929"/>
    <x v="1"/>
  </r>
  <r>
    <s v="April 23, 2020"/>
    <n v="0.55150375939849627"/>
    <x v="1"/>
  </r>
  <r>
    <s v="April 24, 2020"/>
    <n v="0.58126126126126121"/>
    <x v="1"/>
  </r>
  <r>
    <s v="April 25, 2020"/>
    <n v="0.54117647058823526"/>
    <x v="1"/>
  </r>
  <r>
    <s v="April 26, 2020"/>
    <n v="0.56038647342995174"/>
    <x v="1"/>
  </r>
  <r>
    <s v="April 27, 2020"/>
    <n v="0.54863013698630136"/>
    <x v="1"/>
  </r>
  <r>
    <s v="April 28, 2020"/>
    <n v="0.51344086021505375"/>
    <x v="1"/>
  </r>
  <r>
    <s v="April 29, 2020"/>
    <n v="0.50704225352112675"/>
    <x v="1"/>
  </r>
  <r>
    <s v="April 30, 2020"/>
    <n v="0.49121239201668154"/>
    <x v="0"/>
  </r>
  <r>
    <s v="May 1, 2020"/>
    <n v="0.50713245997088796"/>
    <x v="1"/>
  </r>
  <r>
    <s v="May 2, 2020"/>
    <n v="0.48191823899371067"/>
    <x v="0"/>
  </r>
  <r>
    <s v="May 3, 2020"/>
    <n v="0.51406649616368283"/>
    <x v="1"/>
  </r>
  <r>
    <s v="May 4, 2020"/>
    <n v="0.52176126240773735"/>
    <x v="1"/>
  </r>
  <r>
    <s v="May 5, 2020"/>
    <n v="0.4548186306074265"/>
    <x v="0"/>
  </r>
  <r>
    <s v="May 6, 2020"/>
    <n v="0.46933642870961501"/>
    <x v="0"/>
  </r>
  <r>
    <s v="May 7, 2020"/>
    <n v="0.38138479001135073"/>
    <x v="0"/>
  </r>
  <r>
    <s v="May 8, 2020"/>
    <n v="0.39089417555373257"/>
    <x v="0"/>
  </r>
  <r>
    <s v="May 9, 2020"/>
    <n v="0.30336058128973659"/>
    <x v="0"/>
  </r>
  <r>
    <s v="May 10, 2020"/>
    <n v="0.40336808340016039"/>
    <x v="0"/>
  </r>
  <r>
    <s v="May 11, 2020"/>
    <n v="0.52702205882352937"/>
    <x v="1"/>
  </r>
  <r>
    <s v="May 12, 2020"/>
    <n v="0.53017609847837233"/>
    <x v="1"/>
  </r>
  <r>
    <s v="May 13, 2020"/>
    <n v="0.51335101679929263"/>
    <x v="1"/>
  </r>
  <r>
    <s v="May 14, 2020"/>
    <n v="0.47423928077455046"/>
    <x v="0"/>
  </r>
  <r>
    <s v="May 15, 2020"/>
    <n v="0.41997673259099216"/>
    <x v="0"/>
  </r>
  <r>
    <s v="May 16, 2020"/>
    <n v="0.4804936305732484"/>
    <x v="0"/>
  </r>
  <r>
    <s v="May 17, 2020"/>
    <n v="0.49531502423263329"/>
    <x v="0"/>
  </r>
  <r>
    <s v="May 18, 2020"/>
    <n v="0.51453890888950427"/>
    <x v="1"/>
  </r>
  <r>
    <s v="May 19, 2020"/>
    <n v="0.31863343210737322"/>
    <x v="0"/>
  </r>
  <r>
    <s v="May 20, 2020"/>
    <n v="0.31127871100445664"/>
    <x v="0"/>
  </r>
  <r>
    <s v="May 21, 2020"/>
    <n v="0.32094288304623753"/>
    <x v="0"/>
  </r>
  <r>
    <s v="May 22, 2020"/>
    <n v="0.30792520035618876"/>
    <x v="0"/>
  </r>
  <r>
    <s v="May 23, 2020"/>
    <n v="0.3117736230419404"/>
    <x v="0"/>
  </r>
  <r>
    <s v="May 24, 2020"/>
    <n v="0.36868901145523969"/>
    <x v="0"/>
  </r>
  <r>
    <s v="May 25, 2020"/>
    <n v="0.30967184801381692"/>
    <x v="0"/>
  </r>
  <r>
    <s v="May 26, 2020"/>
    <n v="0.19117647058823528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2">
  <r>
    <s v="March 16, 2020"/>
    <n v="1.635805975235715E-2"/>
    <s v=""/>
    <x v="0"/>
  </r>
  <r>
    <s v="March 17, 2020"/>
    <n v="1.3688629311918233E-2"/>
    <s v=""/>
    <x v="0"/>
  </r>
  <r>
    <s v="March 18, 2020"/>
    <n v="1.5063731170336037E-2"/>
    <s v=""/>
    <x v="0"/>
  </r>
  <r>
    <s v="March 19, 2020"/>
    <m/>
    <s v=""/>
    <x v="0"/>
  </r>
  <r>
    <s v="March 20, 2020"/>
    <n v="1.5405224380442064E-2"/>
    <s v=""/>
    <x v="0"/>
  </r>
  <r>
    <s v="March 21, 2020"/>
    <n v="1.9578313253012049E-2"/>
    <s v=""/>
    <x v="0"/>
  </r>
  <r>
    <s v="March 22, 2020"/>
    <n v="2.4577572964669739E-2"/>
    <s v=""/>
    <x v="0"/>
  </r>
  <r>
    <s v="March 23, 2020"/>
    <n v="6.1876247504990017E-2"/>
    <s v=""/>
    <x v="0"/>
  </r>
  <r>
    <s v="March 24, 2020"/>
    <n v="0.31039426523297492"/>
    <s v=""/>
    <x v="0"/>
  </r>
  <r>
    <s v="March 25, 2020"/>
    <n v="0.37702790395846852"/>
    <s v=""/>
    <x v="0"/>
  </r>
  <r>
    <s v="March 26, 2020"/>
    <n v="0.49188584219362058"/>
    <s v=""/>
    <x v="1"/>
  </r>
  <r>
    <s v="March 27, 2020"/>
    <n v="0.53228726614363309"/>
    <s v="X"/>
    <x v="1"/>
  </r>
  <r>
    <s v="March 28, 2020"/>
    <n v="0.57503949447077407"/>
    <s v="X"/>
    <x v="1"/>
  </r>
  <r>
    <s v="March 29, 2020"/>
    <n v="0.56657963446475201"/>
    <s v="X"/>
    <x v="1"/>
  </r>
  <r>
    <s v="March 30, 2020"/>
    <n v="0.54993834771886563"/>
    <s v="X"/>
    <x v="1"/>
  </r>
  <r>
    <s v="March 31, 2020"/>
    <n v="0.54341926729986434"/>
    <s v="X"/>
    <x v="1"/>
  </r>
  <r>
    <s v="April 1, 2020"/>
    <n v="0.625"/>
    <s v="X"/>
    <x v="1"/>
  </r>
  <r>
    <s v="April 2, 2020"/>
    <n v="0.64861205145565337"/>
    <s v="X"/>
    <x v="1"/>
  </r>
  <r>
    <s v="April 3, 2020"/>
    <n v="0.56838905775075987"/>
    <s v="X"/>
    <x v="1"/>
  </r>
  <r>
    <s v="April 4, 2020"/>
    <n v="0.56910569105691056"/>
    <s v="X"/>
    <x v="1"/>
  </r>
  <r>
    <s v="April 5, 2020"/>
    <n v="0.56218274111675126"/>
    <s v="X"/>
    <x v="1"/>
  </r>
  <r>
    <s v="April 6, 2020"/>
    <n v="0.55337690631808278"/>
    <s v="X"/>
    <x v="1"/>
  </r>
  <r>
    <s v="April 7, 2020"/>
    <n v="0.54563258911085"/>
    <s v="X"/>
    <x v="1"/>
  </r>
  <r>
    <s v="April 8, 2020"/>
    <n v="0.49085985104942453"/>
    <s v=""/>
    <x v="1"/>
  </r>
  <r>
    <s v="April 9, 2020"/>
    <n v="0.49636963696369635"/>
    <s v=""/>
    <x v="1"/>
  </r>
  <r>
    <s v="April 10, 2020"/>
    <n v="0.47429519071310117"/>
    <s v=""/>
    <x v="1"/>
  </r>
  <r>
    <s v="April 11, 2020"/>
    <n v="0.48363095238095238"/>
    <s v=""/>
    <x v="1"/>
  </r>
  <r>
    <s v="April 12, 2020"/>
    <n v="0.45145018915510721"/>
    <s v=""/>
    <x v="1"/>
  </r>
  <r>
    <s v="April 13, 2020"/>
    <n v="0.54874999999999996"/>
    <s v="X"/>
    <x v="1"/>
  </r>
  <r>
    <s v="April 14, 2020"/>
    <n v="0.58694287507846832"/>
    <s v="X"/>
    <x v="1"/>
  </r>
  <r>
    <s v="April 15, 2020"/>
    <n v="0.57126236183827805"/>
    <s v="X"/>
    <x v="1"/>
  </r>
  <r>
    <s v="April 16, 2020"/>
    <n v="0.5156462585034014"/>
    <s v="X"/>
    <x v="1"/>
  </r>
  <r>
    <s v="April 17, 2020"/>
    <n v="0.60114404576183045"/>
    <s v="X"/>
    <x v="1"/>
  </r>
  <r>
    <s v="April 18, 2020"/>
    <n v="0.60053262316910783"/>
    <s v="X"/>
    <x v="1"/>
  </r>
  <r>
    <s v="April 19, 2020"/>
    <n v="0.66225749559082892"/>
    <s v="X"/>
    <x v="1"/>
  </r>
  <r>
    <s v="April 20, 2020"/>
    <n v="0.61378999549346558"/>
    <s v="X"/>
    <x v="1"/>
  </r>
  <r>
    <s v="April 21, 2020"/>
    <n v="0.60665137614678899"/>
    <s v="X"/>
    <x v="1"/>
  </r>
  <r>
    <s v="April 22, 2020"/>
    <n v="0.59403832505322929"/>
    <s v="X"/>
    <x v="1"/>
  </r>
  <r>
    <s v="April 23, 2020"/>
    <n v="0.55150375939849627"/>
    <s v="X"/>
    <x v="1"/>
  </r>
  <r>
    <s v="April 24, 2020"/>
    <n v="0.58126126126126121"/>
    <s v="X"/>
    <x v="1"/>
  </r>
  <r>
    <s v="April 25, 2020"/>
    <n v="0.54117647058823526"/>
    <s v="X"/>
    <x v="1"/>
  </r>
  <r>
    <s v="April 26, 2020"/>
    <n v="0.56038647342995174"/>
    <s v="X"/>
    <x v="1"/>
  </r>
  <r>
    <s v="April 27, 2020"/>
    <n v="0.54863013698630136"/>
    <s v="X"/>
    <x v="1"/>
  </r>
  <r>
    <s v="April 28, 2020"/>
    <n v="0.51344086021505375"/>
    <s v="X"/>
    <x v="1"/>
  </r>
  <r>
    <s v="April 29, 2020"/>
    <n v="0.50704225352112675"/>
    <s v="X"/>
    <x v="1"/>
  </r>
  <r>
    <s v="April 30, 2020"/>
    <n v="0.49121239201668154"/>
    <s v=""/>
    <x v="1"/>
  </r>
  <r>
    <s v="May 1, 2020"/>
    <n v="0.50713245997088796"/>
    <s v="X"/>
    <x v="1"/>
  </r>
  <r>
    <s v="May 2, 2020"/>
    <n v="0.48191823899371067"/>
    <s v=""/>
    <x v="1"/>
  </r>
  <r>
    <s v="May 3, 2020"/>
    <n v="0.51406649616368283"/>
    <s v="X"/>
    <x v="1"/>
  </r>
  <r>
    <s v="May 4, 2020"/>
    <n v="0.52176126240773735"/>
    <s v="X"/>
    <x v="1"/>
  </r>
  <r>
    <s v="May 5, 2020"/>
    <n v="0.4548186306074265"/>
    <s v=""/>
    <x v="1"/>
  </r>
  <r>
    <s v="May 6, 2020"/>
    <n v="0.46933642870961501"/>
    <s v=""/>
    <x v="1"/>
  </r>
  <r>
    <s v="May 7, 2020"/>
    <n v="0.38138479001135073"/>
    <s v=""/>
    <x v="0"/>
  </r>
  <r>
    <s v="May 8, 2020"/>
    <n v="0.39089417555373257"/>
    <s v=""/>
    <x v="0"/>
  </r>
  <r>
    <s v="May 9, 2020"/>
    <n v="0.30336058128973659"/>
    <s v=""/>
    <x v="0"/>
  </r>
  <r>
    <s v="May 10, 2020"/>
    <n v="0.40336808340016039"/>
    <s v=""/>
    <x v="1"/>
  </r>
  <r>
    <s v="May 11, 2020"/>
    <n v="0.52702205882352937"/>
    <s v="X"/>
    <x v="1"/>
  </r>
  <r>
    <s v="May 12, 2020"/>
    <n v="0.53017609847837233"/>
    <s v="X"/>
    <x v="1"/>
  </r>
  <r>
    <s v="May 13, 2020"/>
    <n v="0.51335101679929263"/>
    <s v="X"/>
    <x v="1"/>
  </r>
  <r>
    <s v="May 14, 2020"/>
    <n v="0.47423928077455046"/>
    <s v=""/>
    <x v="1"/>
  </r>
  <r>
    <s v="May 15, 2020"/>
    <n v="0.41997673259099216"/>
    <s v=""/>
    <x v="1"/>
  </r>
  <r>
    <s v="May 16, 2020"/>
    <n v="0.4804936305732484"/>
    <s v=""/>
    <x v="1"/>
  </r>
  <r>
    <s v="May 17, 2020"/>
    <n v="0.49531502423263329"/>
    <s v=""/>
    <x v="1"/>
  </r>
  <r>
    <s v="May 18, 2020"/>
    <n v="0.51453890888950427"/>
    <s v="X"/>
    <x v="1"/>
  </r>
  <r>
    <s v="May 19, 2020"/>
    <n v="0.31863343210737322"/>
    <s v=""/>
    <x v="0"/>
  </r>
  <r>
    <s v="May 20, 2020"/>
    <n v="0.31127871100445664"/>
    <s v=""/>
    <x v="0"/>
  </r>
  <r>
    <s v="May 21, 2020"/>
    <n v="0.32094288304623753"/>
    <s v=""/>
    <x v="0"/>
  </r>
  <r>
    <s v="May 22, 2020"/>
    <n v="0.30792520035618876"/>
    <s v=""/>
    <x v="0"/>
  </r>
  <r>
    <s v="May 23, 2020"/>
    <n v="0.3117736230419404"/>
    <s v=""/>
    <x v="0"/>
  </r>
  <r>
    <s v="May 24, 2020"/>
    <n v="0.36868901145523969"/>
    <s v=""/>
    <x v="0"/>
  </r>
  <r>
    <s v="May 25, 2020"/>
    <n v="0.30967184801381692"/>
    <s v=""/>
    <x v="0"/>
  </r>
  <r>
    <s v="May 26, 2020"/>
    <n v="0.19117647058823528"/>
    <s v="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BF9D00-C193-46D8-B6BF-295433D47C0B}" name="PivotTable1" cacheId="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6" firstHeaderRow="1" firstDataRow="1" firstDataCol="1"/>
  <pivotFields count="3">
    <pivotField showAll="0"/>
    <pivotField showAll="0"/>
    <pivotField axis="axisRow" dataField="1" showAll="0">
      <items count="3">
        <item x="0"/>
        <item x="1"/>
        <item t="default"/>
      </items>
    </pivotField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Count of mark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E63D29-7253-4669-B428-F03D9C8359F4}" name="PivotTable2" cacheId="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6" firstHeaderRow="1" firstDataRow="1" firstDataCol="1"/>
  <pivotFields count="4">
    <pivotField showAll="0"/>
    <pivotField showAll="0"/>
    <pivotField showAll="0"/>
    <pivotField axis="axisRow" dataField="1" showAll="0">
      <items count="3">
        <item x="0"/>
        <item x="1"/>
        <item t="default"/>
      </items>
    </pivotField>
  </pivotFields>
  <rowFields count="1">
    <field x="3"/>
  </rowFields>
  <rowItems count="3">
    <i>
      <x/>
    </i>
    <i>
      <x v="1"/>
    </i>
    <i t="grand">
      <x/>
    </i>
  </rowItems>
  <colItems count="1">
    <i/>
  </colItems>
  <dataFields count="1">
    <dataField name="Count of mark40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2F2A9-7BFD-43F5-88D9-547936E4B9E2}">
  <dimension ref="A3:B6"/>
  <sheetViews>
    <sheetView workbookViewId="0">
      <selection activeCell="A3" sqref="A3"/>
    </sheetView>
  </sheetViews>
  <sheetFormatPr defaultRowHeight="14.5" x14ac:dyDescent="0.35"/>
  <cols>
    <col min="1" max="1" width="12.36328125" bestFit="1" customWidth="1"/>
    <col min="2" max="2" width="13" bestFit="1" customWidth="1"/>
  </cols>
  <sheetData>
    <row r="3" spans="1:2" x14ac:dyDescent="0.35">
      <c r="A3" s="6" t="s">
        <v>75</v>
      </c>
      <c r="B3" t="s">
        <v>78</v>
      </c>
    </row>
    <row r="4" spans="1:2" x14ac:dyDescent="0.35">
      <c r="A4" s="7"/>
      <c r="B4" s="8">
        <v>36</v>
      </c>
    </row>
    <row r="5" spans="1:2" x14ac:dyDescent="0.35">
      <c r="A5" s="7" t="s">
        <v>76</v>
      </c>
      <c r="B5" s="8">
        <v>36</v>
      </c>
    </row>
    <row r="6" spans="1:2" x14ac:dyDescent="0.35">
      <c r="A6" s="7" t="s">
        <v>77</v>
      </c>
      <c r="B6" s="8">
        <v>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3B54A-4BA4-4818-88B6-C32A2F33460D}">
  <dimension ref="A3:B6"/>
  <sheetViews>
    <sheetView tabSelected="1" workbookViewId="0">
      <selection activeCell="H13" sqref="H13"/>
    </sheetView>
  </sheetViews>
  <sheetFormatPr defaultRowHeight="14.5" x14ac:dyDescent="0.35"/>
  <cols>
    <col min="1" max="1" width="12.36328125" bestFit="1" customWidth="1"/>
    <col min="2" max="2" width="15" bestFit="1" customWidth="1"/>
  </cols>
  <sheetData>
    <row r="3" spans="1:2" x14ac:dyDescent="0.35">
      <c r="A3" s="6" t="s">
        <v>75</v>
      </c>
      <c r="B3" t="s">
        <v>80</v>
      </c>
    </row>
    <row r="4" spans="1:2" x14ac:dyDescent="0.35">
      <c r="A4" s="7"/>
      <c r="B4" s="8">
        <v>21</v>
      </c>
    </row>
    <row r="5" spans="1:2" x14ac:dyDescent="0.35">
      <c r="A5" s="7" t="s">
        <v>76</v>
      </c>
      <c r="B5" s="8">
        <v>51</v>
      </c>
    </row>
    <row r="6" spans="1:2" x14ac:dyDescent="0.35">
      <c r="A6" s="7" t="s">
        <v>77</v>
      </c>
      <c r="B6" s="8">
        <v>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C3423-7991-453E-B856-9BCE8060DBBF}">
  <dimension ref="A1:D73"/>
  <sheetViews>
    <sheetView workbookViewId="0">
      <selection activeCell="D10" sqref="D10"/>
    </sheetView>
  </sheetViews>
  <sheetFormatPr defaultRowHeight="14.5" x14ac:dyDescent="0.35"/>
  <cols>
    <col min="1" max="1" width="12.1796875" bestFit="1" customWidth="1"/>
    <col min="2" max="2" width="10.81640625" style="5" bestFit="1" customWidth="1"/>
  </cols>
  <sheetData>
    <row r="1" spans="1:4" x14ac:dyDescent="0.35">
      <c r="A1" s="1" t="s">
        <v>73</v>
      </c>
      <c r="B1" s="3" t="s">
        <v>72</v>
      </c>
      <c r="C1" t="s">
        <v>74</v>
      </c>
      <c r="D1" t="s">
        <v>79</v>
      </c>
    </row>
    <row r="2" spans="1:4" x14ac:dyDescent="0.35">
      <c r="A2" s="2" t="s">
        <v>0</v>
      </c>
      <c r="B2" s="4">
        <v>1.635805975235715E-2</v>
      </c>
      <c r="C2" t="str">
        <f>IF(B2&gt;=0.5,"X","")</f>
        <v/>
      </c>
      <c r="D2" t="str">
        <f>IF(B2&gt;=0.4,"X","")</f>
        <v/>
      </c>
    </row>
    <row r="3" spans="1:4" x14ac:dyDescent="0.35">
      <c r="A3" s="2" t="s">
        <v>1</v>
      </c>
      <c r="B3" s="4">
        <v>1.3688629311918233E-2</v>
      </c>
      <c r="C3" t="str">
        <f t="shared" ref="C3:C66" si="0">IF(B3&gt;=0.5,"X","")</f>
        <v/>
      </c>
      <c r="D3" t="str">
        <f t="shared" ref="D3:D66" si="1">IF(B3&gt;=0.4,"X","")</f>
        <v/>
      </c>
    </row>
    <row r="4" spans="1:4" x14ac:dyDescent="0.35">
      <c r="A4" s="2" t="s">
        <v>2</v>
      </c>
      <c r="B4" s="4">
        <v>1.5063731170336037E-2</v>
      </c>
      <c r="C4" t="str">
        <f t="shared" si="0"/>
        <v/>
      </c>
      <c r="D4" t="str">
        <f t="shared" si="1"/>
        <v/>
      </c>
    </row>
    <row r="5" spans="1:4" x14ac:dyDescent="0.35">
      <c r="A5" s="2" t="s">
        <v>3</v>
      </c>
      <c r="C5" t="str">
        <f t="shared" si="0"/>
        <v/>
      </c>
      <c r="D5" t="str">
        <f t="shared" si="1"/>
        <v/>
      </c>
    </row>
    <row r="6" spans="1:4" x14ac:dyDescent="0.35">
      <c r="A6" s="2" t="s">
        <v>4</v>
      </c>
      <c r="B6" s="4">
        <v>1.5405224380442064E-2</v>
      </c>
      <c r="C6" t="str">
        <f t="shared" si="0"/>
        <v/>
      </c>
      <c r="D6" t="str">
        <f t="shared" si="1"/>
        <v/>
      </c>
    </row>
    <row r="7" spans="1:4" x14ac:dyDescent="0.35">
      <c r="A7" s="2" t="s">
        <v>5</v>
      </c>
      <c r="B7" s="4">
        <v>1.9578313253012049E-2</v>
      </c>
      <c r="C7" t="str">
        <f t="shared" si="0"/>
        <v/>
      </c>
      <c r="D7" t="str">
        <f t="shared" si="1"/>
        <v/>
      </c>
    </row>
    <row r="8" spans="1:4" x14ac:dyDescent="0.35">
      <c r="A8" s="2" t="s">
        <v>6</v>
      </c>
      <c r="B8" s="4">
        <v>2.4577572964669739E-2</v>
      </c>
      <c r="C8" t="str">
        <f t="shared" si="0"/>
        <v/>
      </c>
      <c r="D8" t="str">
        <f t="shared" si="1"/>
        <v/>
      </c>
    </row>
    <row r="9" spans="1:4" x14ac:dyDescent="0.35">
      <c r="A9" s="2" t="s">
        <v>7</v>
      </c>
      <c r="B9" s="4">
        <v>6.1876247504990017E-2</v>
      </c>
      <c r="C9" t="str">
        <f t="shared" si="0"/>
        <v/>
      </c>
      <c r="D9" t="str">
        <f t="shared" si="1"/>
        <v/>
      </c>
    </row>
    <row r="10" spans="1:4" x14ac:dyDescent="0.35">
      <c r="A10" s="2" t="s">
        <v>8</v>
      </c>
      <c r="B10" s="4">
        <v>0.31039426523297492</v>
      </c>
      <c r="C10" t="str">
        <f t="shared" si="0"/>
        <v/>
      </c>
      <c r="D10" t="str">
        <f t="shared" si="1"/>
        <v/>
      </c>
    </row>
    <row r="11" spans="1:4" x14ac:dyDescent="0.35">
      <c r="A11" s="2" t="s">
        <v>9</v>
      </c>
      <c r="B11" s="4">
        <v>0.37702790395846852</v>
      </c>
      <c r="C11" t="str">
        <f t="shared" si="0"/>
        <v/>
      </c>
      <c r="D11" t="str">
        <f t="shared" si="1"/>
        <v/>
      </c>
    </row>
    <row r="12" spans="1:4" x14ac:dyDescent="0.35">
      <c r="A12" s="2" t="s">
        <v>10</v>
      </c>
      <c r="B12" s="4">
        <v>0.49188584219362058</v>
      </c>
      <c r="C12" t="str">
        <f t="shared" si="0"/>
        <v/>
      </c>
      <c r="D12" t="str">
        <f t="shared" si="1"/>
        <v>X</v>
      </c>
    </row>
    <row r="13" spans="1:4" x14ac:dyDescent="0.35">
      <c r="A13" s="2" t="s">
        <v>11</v>
      </c>
      <c r="B13" s="4">
        <v>0.53228726614363309</v>
      </c>
      <c r="C13" t="str">
        <f t="shared" si="0"/>
        <v>X</v>
      </c>
      <c r="D13" t="str">
        <f t="shared" si="1"/>
        <v>X</v>
      </c>
    </row>
    <row r="14" spans="1:4" x14ac:dyDescent="0.35">
      <c r="A14" s="2" t="s">
        <v>12</v>
      </c>
      <c r="B14" s="4">
        <v>0.57503949447077407</v>
      </c>
      <c r="C14" t="str">
        <f t="shared" si="0"/>
        <v>X</v>
      </c>
      <c r="D14" t="str">
        <f t="shared" si="1"/>
        <v>X</v>
      </c>
    </row>
    <row r="15" spans="1:4" x14ac:dyDescent="0.35">
      <c r="A15" s="2" t="s">
        <v>13</v>
      </c>
      <c r="B15" s="4">
        <v>0.56657963446475201</v>
      </c>
      <c r="C15" t="str">
        <f t="shared" si="0"/>
        <v>X</v>
      </c>
      <c r="D15" t="str">
        <f t="shared" si="1"/>
        <v>X</v>
      </c>
    </row>
    <row r="16" spans="1:4" x14ac:dyDescent="0.35">
      <c r="A16" s="2" t="s">
        <v>14</v>
      </c>
      <c r="B16" s="4">
        <v>0.54993834771886563</v>
      </c>
      <c r="C16" t="str">
        <f t="shared" si="0"/>
        <v>X</v>
      </c>
      <c r="D16" t="str">
        <f t="shared" si="1"/>
        <v>X</v>
      </c>
    </row>
    <row r="17" spans="1:4" x14ac:dyDescent="0.35">
      <c r="A17" s="2" t="s">
        <v>15</v>
      </c>
      <c r="B17" s="4">
        <v>0.54341926729986434</v>
      </c>
      <c r="C17" t="str">
        <f t="shared" si="0"/>
        <v>X</v>
      </c>
      <c r="D17" t="str">
        <f t="shared" si="1"/>
        <v>X</v>
      </c>
    </row>
    <row r="18" spans="1:4" x14ac:dyDescent="0.35">
      <c r="A18" s="2" t="s">
        <v>16</v>
      </c>
      <c r="B18" s="4">
        <v>0.625</v>
      </c>
      <c r="C18" t="str">
        <f t="shared" si="0"/>
        <v>X</v>
      </c>
      <c r="D18" t="str">
        <f t="shared" si="1"/>
        <v>X</v>
      </c>
    </row>
    <row r="19" spans="1:4" x14ac:dyDescent="0.35">
      <c r="A19" s="2" t="s">
        <v>17</v>
      </c>
      <c r="B19" s="4">
        <v>0.64861205145565337</v>
      </c>
      <c r="C19" t="str">
        <f t="shared" si="0"/>
        <v>X</v>
      </c>
      <c r="D19" t="str">
        <f t="shared" si="1"/>
        <v>X</v>
      </c>
    </row>
    <row r="20" spans="1:4" x14ac:dyDescent="0.35">
      <c r="A20" s="2" t="s">
        <v>18</v>
      </c>
      <c r="B20" s="4">
        <v>0.56838905775075987</v>
      </c>
      <c r="C20" t="str">
        <f t="shared" si="0"/>
        <v>X</v>
      </c>
      <c r="D20" t="str">
        <f t="shared" si="1"/>
        <v>X</v>
      </c>
    </row>
    <row r="21" spans="1:4" x14ac:dyDescent="0.35">
      <c r="A21" s="2" t="s">
        <v>19</v>
      </c>
      <c r="B21" s="4">
        <v>0.56910569105691056</v>
      </c>
      <c r="C21" t="str">
        <f t="shared" si="0"/>
        <v>X</v>
      </c>
      <c r="D21" t="str">
        <f t="shared" si="1"/>
        <v>X</v>
      </c>
    </row>
    <row r="22" spans="1:4" x14ac:dyDescent="0.35">
      <c r="A22" s="2" t="s">
        <v>20</v>
      </c>
      <c r="B22" s="4">
        <v>0.56218274111675126</v>
      </c>
      <c r="C22" t="str">
        <f t="shared" si="0"/>
        <v>X</v>
      </c>
      <c r="D22" t="str">
        <f t="shared" si="1"/>
        <v>X</v>
      </c>
    </row>
    <row r="23" spans="1:4" x14ac:dyDescent="0.35">
      <c r="A23" s="2" t="s">
        <v>21</v>
      </c>
      <c r="B23" s="4">
        <v>0.55337690631808278</v>
      </c>
      <c r="C23" t="str">
        <f t="shared" si="0"/>
        <v>X</v>
      </c>
      <c r="D23" t="str">
        <f t="shared" si="1"/>
        <v>X</v>
      </c>
    </row>
    <row r="24" spans="1:4" x14ac:dyDescent="0.35">
      <c r="A24" s="2" t="s">
        <v>22</v>
      </c>
      <c r="B24" s="4">
        <v>0.54563258911085</v>
      </c>
      <c r="C24" t="str">
        <f t="shared" si="0"/>
        <v>X</v>
      </c>
      <c r="D24" t="str">
        <f t="shared" si="1"/>
        <v>X</v>
      </c>
    </row>
    <row r="25" spans="1:4" x14ac:dyDescent="0.35">
      <c r="A25" s="2" t="s">
        <v>23</v>
      </c>
      <c r="B25" s="4">
        <v>0.49085985104942453</v>
      </c>
      <c r="C25" t="str">
        <f t="shared" si="0"/>
        <v/>
      </c>
      <c r="D25" t="str">
        <f t="shared" si="1"/>
        <v>X</v>
      </c>
    </row>
    <row r="26" spans="1:4" x14ac:dyDescent="0.35">
      <c r="A26" s="2" t="s">
        <v>24</v>
      </c>
      <c r="B26" s="4">
        <v>0.49636963696369635</v>
      </c>
      <c r="C26" t="str">
        <f t="shared" si="0"/>
        <v/>
      </c>
      <c r="D26" t="str">
        <f t="shared" si="1"/>
        <v>X</v>
      </c>
    </row>
    <row r="27" spans="1:4" x14ac:dyDescent="0.35">
      <c r="A27" s="2" t="s">
        <v>25</v>
      </c>
      <c r="B27" s="4">
        <v>0.47429519071310117</v>
      </c>
      <c r="C27" t="str">
        <f t="shared" si="0"/>
        <v/>
      </c>
      <c r="D27" t="str">
        <f t="shared" si="1"/>
        <v>X</v>
      </c>
    </row>
    <row r="28" spans="1:4" x14ac:dyDescent="0.35">
      <c r="A28" s="2" t="s">
        <v>26</v>
      </c>
      <c r="B28" s="4">
        <v>0.48363095238095238</v>
      </c>
      <c r="C28" t="str">
        <f t="shared" si="0"/>
        <v/>
      </c>
      <c r="D28" t="str">
        <f t="shared" si="1"/>
        <v>X</v>
      </c>
    </row>
    <row r="29" spans="1:4" x14ac:dyDescent="0.35">
      <c r="A29" s="2" t="s">
        <v>27</v>
      </c>
      <c r="B29" s="4">
        <v>0.45145018915510721</v>
      </c>
      <c r="C29" t="str">
        <f t="shared" si="0"/>
        <v/>
      </c>
      <c r="D29" t="str">
        <f t="shared" si="1"/>
        <v>X</v>
      </c>
    </row>
    <row r="30" spans="1:4" x14ac:dyDescent="0.35">
      <c r="A30" s="2" t="s">
        <v>28</v>
      </c>
      <c r="B30" s="4">
        <v>0.54874999999999996</v>
      </c>
      <c r="C30" t="str">
        <f t="shared" si="0"/>
        <v>X</v>
      </c>
      <c r="D30" t="str">
        <f t="shared" si="1"/>
        <v>X</v>
      </c>
    </row>
    <row r="31" spans="1:4" x14ac:dyDescent="0.35">
      <c r="A31" s="2" t="s">
        <v>29</v>
      </c>
      <c r="B31" s="4">
        <v>0.58694287507846832</v>
      </c>
      <c r="C31" t="str">
        <f t="shared" si="0"/>
        <v>X</v>
      </c>
      <c r="D31" t="str">
        <f t="shared" si="1"/>
        <v>X</v>
      </c>
    </row>
    <row r="32" spans="1:4" x14ac:dyDescent="0.35">
      <c r="A32" s="2" t="s">
        <v>30</v>
      </c>
      <c r="B32" s="4">
        <v>0.57126236183827805</v>
      </c>
      <c r="C32" t="str">
        <f t="shared" si="0"/>
        <v>X</v>
      </c>
      <c r="D32" t="str">
        <f t="shared" si="1"/>
        <v>X</v>
      </c>
    </row>
    <row r="33" spans="1:4" x14ac:dyDescent="0.35">
      <c r="A33" s="2" t="s">
        <v>31</v>
      </c>
      <c r="B33" s="4">
        <v>0.5156462585034014</v>
      </c>
      <c r="C33" t="str">
        <f t="shared" si="0"/>
        <v>X</v>
      </c>
      <c r="D33" t="str">
        <f t="shared" si="1"/>
        <v>X</v>
      </c>
    </row>
    <row r="34" spans="1:4" x14ac:dyDescent="0.35">
      <c r="A34" s="2" t="s">
        <v>32</v>
      </c>
      <c r="B34" s="4">
        <v>0.60114404576183045</v>
      </c>
      <c r="C34" t="str">
        <f t="shared" si="0"/>
        <v>X</v>
      </c>
      <c r="D34" t="str">
        <f t="shared" si="1"/>
        <v>X</v>
      </c>
    </row>
    <row r="35" spans="1:4" x14ac:dyDescent="0.35">
      <c r="A35" s="2" t="s">
        <v>33</v>
      </c>
      <c r="B35" s="4">
        <v>0.60053262316910783</v>
      </c>
      <c r="C35" t="str">
        <f t="shared" si="0"/>
        <v>X</v>
      </c>
      <c r="D35" t="str">
        <f t="shared" si="1"/>
        <v>X</v>
      </c>
    </row>
    <row r="36" spans="1:4" x14ac:dyDescent="0.35">
      <c r="A36" s="2" t="s">
        <v>34</v>
      </c>
      <c r="B36" s="4">
        <v>0.66225749559082892</v>
      </c>
      <c r="C36" t="str">
        <f t="shared" si="0"/>
        <v>X</v>
      </c>
      <c r="D36" t="str">
        <f t="shared" si="1"/>
        <v>X</v>
      </c>
    </row>
    <row r="37" spans="1:4" x14ac:dyDescent="0.35">
      <c r="A37" s="2" t="s">
        <v>35</v>
      </c>
      <c r="B37" s="4">
        <v>0.61378999549346558</v>
      </c>
      <c r="C37" t="str">
        <f t="shared" si="0"/>
        <v>X</v>
      </c>
      <c r="D37" t="str">
        <f t="shared" si="1"/>
        <v>X</v>
      </c>
    </row>
    <row r="38" spans="1:4" x14ac:dyDescent="0.35">
      <c r="A38" s="2" t="s">
        <v>36</v>
      </c>
      <c r="B38" s="4">
        <v>0.60665137614678899</v>
      </c>
      <c r="C38" t="str">
        <f t="shared" si="0"/>
        <v>X</v>
      </c>
      <c r="D38" t="str">
        <f t="shared" si="1"/>
        <v>X</v>
      </c>
    </row>
    <row r="39" spans="1:4" x14ac:dyDescent="0.35">
      <c r="A39" s="2" t="s">
        <v>37</v>
      </c>
      <c r="B39" s="4">
        <v>0.59403832505322929</v>
      </c>
      <c r="C39" t="str">
        <f t="shared" si="0"/>
        <v>X</v>
      </c>
      <c r="D39" t="str">
        <f t="shared" si="1"/>
        <v>X</v>
      </c>
    </row>
    <row r="40" spans="1:4" x14ac:dyDescent="0.35">
      <c r="A40" s="2" t="s">
        <v>38</v>
      </c>
      <c r="B40" s="4">
        <v>0.55150375939849627</v>
      </c>
      <c r="C40" t="str">
        <f t="shared" si="0"/>
        <v>X</v>
      </c>
      <c r="D40" t="str">
        <f t="shared" si="1"/>
        <v>X</v>
      </c>
    </row>
    <row r="41" spans="1:4" x14ac:dyDescent="0.35">
      <c r="A41" s="2" t="s">
        <v>39</v>
      </c>
      <c r="B41" s="4">
        <v>0.58126126126126121</v>
      </c>
      <c r="C41" t="str">
        <f t="shared" si="0"/>
        <v>X</v>
      </c>
      <c r="D41" t="str">
        <f t="shared" si="1"/>
        <v>X</v>
      </c>
    </row>
    <row r="42" spans="1:4" x14ac:dyDescent="0.35">
      <c r="A42" s="2" t="s">
        <v>40</v>
      </c>
      <c r="B42" s="4">
        <v>0.54117647058823526</v>
      </c>
      <c r="C42" t="str">
        <f t="shared" si="0"/>
        <v>X</v>
      </c>
      <c r="D42" t="str">
        <f t="shared" si="1"/>
        <v>X</v>
      </c>
    </row>
    <row r="43" spans="1:4" x14ac:dyDescent="0.35">
      <c r="A43" s="2" t="s">
        <v>41</v>
      </c>
      <c r="B43" s="4">
        <v>0.56038647342995174</v>
      </c>
      <c r="C43" t="str">
        <f t="shared" si="0"/>
        <v>X</v>
      </c>
      <c r="D43" t="str">
        <f t="shared" si="1"/>
        <v>X</v>
      </c>
    </row>
    <row r="44" spans="1:4" x14ac:dyDescent="0.35">
      <c r="A44" s="2" t="s">
        <v>42</v>
      </c>
      <c r="B44" s="4">
        <v>0.54863013698630136</v>
      </c>
      <c r="C44" t="str">
        <f t="shared" si="0"/>
        <v>X</v>
      </c>
      <c r="D44" t="str">
        <f t="shared" si="1"/>
        <v>X</v>
      </c>
    </row>
    <row r="45" spans="1:4" x14ac:dyDescent="0.35">
      <c r="A45" s="2" t="s">
        <v>43</v>
      </c>
      <c r="B45" s="4">
        <v>0.51344086021505375</v>
      </c>
      <c r="C45" t="str">
        <f t="shared" si="0"/>
        <v>X</v>
      </c>
      <c r="D45" t="str">
        <f t="shared" si="1"/>
        <v>X</v>
      </c>
    </row>
    <row r="46" spans="1:4" x14ac:dyDescent="0.35">
      <c r="A46" s="2" t="s">
        <v>44</v>
      </c>
      <c r="B46" s="4">
        <v>0.50704225352112675</v>
      </c>
      <c r="C46" t="str">
        <f t="shared" si="0"/>
        <v>X</v>
      </c>
      <c r="D46" t="str">
        <f t="shared" si="1"/>
        <v>X</v>
      </c>
    </row>
    <row r="47" spans="1:4" x14ac:dyDescent="0.35">
      <c r="A47" s="2" t="s">
        <v>45</v>
      </c>
      <c r="B47" s="4">
        <v>0.49121239201668154</v>
      </c>
      <c r="C47" t="str">
        <f t="shared" si="0"/>
        <v/>
      </c>
      <c r="D47" t="str">
        <f t="shared" si="1"/>
        <v>X</v>
      </c>
    </row>
    <row r="48" spans="1:4" x14ac:dyDescent="0.35">
      <c r="A48" s="2" t="s">
        <v>46</v>
      </c>
      <c r="B48" s="4">
        <v>0.50713245997088796</v>
      </c>
      <c r="C48" t="str">
        <f t="shared" si="0"/>
        <v>X</v>
      </c>
      <c r="D48" t="str">
        <f t="shared" si="1"/>
        <v>X</v>
      </c>
    </row>
    <row r="49" spans="1:4" x14ac:dyDescent="0.35">
      <c r="A49" s="2" t="s">
        <v>47</v>
      </c>
      <c r="B49" s="4">
        <v>0.48191823899371067</v>
      </c>
      <c r="C49" t="str">
        <f t="shared" si="0"/>
        <v/>
      </c>
      <c r="D49" t="str">
        <f t="shared" si="1"/>
        <v>X</v>
      </c>
    </row>
    <row r="50" spans="1:4" x14ac:dyDescent="0.35">
      <c r="A50" s="2" t="s">
        <v>48</v>
      </c>
      <c r="B50" s="4">
        <v>0.51406649616368283</v>
      </c>
      <c r="C50" t="str">
        <f t="shared" si="0"/>
        <v>X</v>
      </c>
      <c r="D50" t="str">
        <f t="shared" si="1"/>
        <v>X</v>
      </c>
    </row>
    <row r="51" spans="1:4" x14ac:dyDescent="0.35">
      <c r="A51" s="2" t="s">
        <v>49</v>
      </c>
      <c r="B51" s="4">
        <v>0.52176126240773735</v>
      </c>
      <c r="C51" t="str">
        <f t="shared" si="0"/>
        <v>X</v>
      </c>
      <c r="D51" t="str">
        <f t="shared" si="1"/>
        <v>X</v>
      </c>
    </row>
    <row r="52" spans="1:4" x14ac:dyDescent="0.35">
      <c r="A52" s="2" t="s">
        <v>50</v>
      </c>
      <c r="B52" s="4">
        <v>0.4548186306074265</v>
      </c>
      <c r="C52" t="str">
        <f t="shared" si="0"/>
        <v/>
      </c>
      <c r="D52" t="str">
        <f t="shared" si="1"/>
        <v>X</v>
      </c>
    </row>
    <row r="53" spans="1:4" x14ac:dyDescent="0.35">
      <c r="A53" s="2" t="s">
        <v>51</v>
      </c>
      <c r="B53" s="4">
        <v>0.46933642870961501</v>
      </c>
      <c r="C53" t="str">
        <f t="shared" si="0"/>
        <v/>
      </c>
      <c r="D53" t="str">
        <f t="shared" si="1"/>
        <v>X</v>
      </c>
    </row>
    <row r="54" spans="1:4" x14ac:dyDescent="0.35">
      <c r="A54" s="2" t="s">
        <v>52</v>
      </c>
      <c r="B54" s="4">
        <v>0.38138479001135073</v>
      </c>
      <c r="C54" t="str">
        <f t="shared" si="0"/>
        <v/>
      </c>
      <c r="D54" t="str">
        <f t="shared" si="1"/>
        <v/>
      </c>
    </row>
    <row r="55" spans="1:4" x14ac:dyDescent="0.35">
      <c r="A55" s="2" t="s">
        <v>53</v>
      </c>
      <c r="B55" s="4">
        <v>0.39089417555373257</v>
      </c>
      <c r="C55" t="str">
        <f t="shared" si="0"/>
        <v/>
      </c>
      <c r="D55" t="str">
        <f t="shared" si="1"/>
        <v/>
      </c>
    </row>
    <row r="56" spans="1:4" x14ac:dyDescent="0.35">
      <c r="A56" s="2" t="s">
        <v>54</v>
      </c>
      <c r="B56" s="4">
        <v>0.30336058128973659</v>
      </c>
      <c r="C56" t="str">
        <f t="shared" si="0"/>
        <v/>
      </c>
      <c r="D56" t="str">
        <f t="shared" si="1"/>
        <v/>
      </c>
    </row>
    <row r="57" spans="1:4" x14ac:dyDescent="0.35">
      <c r="A57" s="2" t="s">
        <v>55</v>
      </c>
      <c r="B57" s="4">
        <v>0.40336808340016039</v>
      </c>
      <c r="C57" t="str">
        <f t="shared" si="0"/>
        <v/>
      </c>
      <c r="D57" t="str">
        <f t="shared" si="1"/>
        <v>X</v>
      </c>
    </row>
    <row r="58" spans="1:4" x14ac:dyDescent="0.35">
      <c r="A58" s="2" t="s">
        <v>56</v>
      </c>
      <c r="B58" s="4">
        <v>0.52702205882352937</v>
      </c>
      <c r="C58" t="str">
        <f t="shared" si="0"/>
        <v>X</v>
      </c>
      <c r="D58" t="str">
        <f t="shared" si="1"/>
        <v>X</v>
      </c>
    </row>
    <row r="59" spans="1:4" x14ac:dyDescent="0.35">
      <c r="A59" s="2" t="s">
        <v>57</v>
      </c>
      <c r="B59" s="4">
        <v>0.53017609847837233</v>
      </c>
      <c r="C59" t="str">
        <f t="shared" si="0"/>
        <v>X</v>
      </c>
      <c r="D59" t="str">
        <f t="shared" si="1"/>
        <v>X</v>
      </c>
    </row>
    <row r="60" spans="1:4" x14ac:dyDescent="0.35">
      <c r="A60" s="2" t="s">
        <v>58</v>
      </c>
      <c r="B60" s="4">
        <v>0.51335101679929263</v>
      </c>
      <c r="C60" t="str">
        <f t="shared" si="0"/>
        <v>X</v>
      </c>
      <c r="D60" t="str">
        <f t="shared" si="1"/>
        <v>X</v>
      </c>
    </row>
    <row r="61" spans="1:4" x14ac:dyDescent="0.35">
      <c r="A61" s="2" t="s">
        <v>59</v>
      </c>
      <c r="B61" s="4">
        <v>0.47423928077455046</v>
      </c>
      <c r="C61" t="str">
        <f t="shared" si="0"/>
        <v/>
      </c>
      <c r="D61" t="str">
        <f t="shared" si="1"/>
        <v>X</v>
      </c>
    </row>
    <row r="62" spans="1:4" x14ac:dyDescent="0.35">
      <c r="A62" s="2" t="s">
        <v>60</v>
      </c>
      <c r="B62" s="4">
        <v>0.41997673259099216</v>
      </c>
      <c r="C62" t="str">
        <f t="shared" si="0"/>
        <v/>
      </c>
      <c r="D62" t="str">
        <f t="shared" si="1"/>
        <v>X</v>
      </c>
    </row>
    <row r="63" spans="1:4" x14ac:dyDescent="0.35">
      <c r="A63" s="2" t="s">
        <v>61</v>
      </c>
      <c r="B63" s="4">
        <v>0.4804936305732484</v>
      </c>
      <c r="C63" t="str">
        <f t="shared" si="0"/>
        <v/>
      </c>
      <c r="D63" t="str">
        <f t="shared" si="1"/>
        <v>X</v>
      </c>
    </row>
    <row r="64" spans="1:4" x14ac:dyDescent="0.35">
      <c r="A64" s="2" t="s">
        <v>62</v>
      </c>
      <c r="B64" s="4">
        <v>0.49531502423263329</v>
      </c>
      <c r="C64" t="str">
        <f t="shared" si="0"/>
        <v/>
      </c>
      <c r="D64" t="str">
        <f t="shared" si="1"/>
        <v>X</v>
      </c>
    </row>
    <row r="65" spans="1:4" x14ac:dyDescent="0.35">
      <c r="A65" s="2" t="s">
        <v>63</v>
      </c>
      <c r="B65" s="4">
        <v>0.51453890888950427</v>
      </c>
      <c r="C65" t="str">
        <f t="shared" si="0"/>
        <v>X</v>
      </c>
      <c r="D65" t="str">
        <f t="shared" si="1"/>
        <v>X</v>
      </c>
    </row>
    <row r="66" spans="1:4" x14ac:dyDescent="0.35">
      <c r="A66" s="2" t="s">
        <v>64</v>
      </c>
      <c r="B66" s="4">
        <v>0.31863343210737322</v>
      </c>
      <c r="C66" t="str">
        <f t="shared" si="0"/>
        <v/>
      </c>
      <c r="D66" t="str">
        <f t="shared" si="1"/>
        <v/>
      </c>
    </row>
    <row r="67" spans="1:4" x14ac:dyDescent="0.35">
      <c r="A67" s="2" t="s">
        <v>65</v>
      </c>
      <c r="B67" s="4">
        <v>0.31127871100445664</v>
      </c>
      <c r="C67" t="str">
        <f t="shared" ref="C67:C73" si="2">IF(B67&gt;=0.5,"X","")</f>
        <v/>
      </c>
      <c r="D67" t="str">
        <f t="shared" ref="D67:D73" si="3">IF(B67&gt;=0.4,"X","")</f>
        <v/>
      </c>
    </row>
    <row r="68" spans="1:4" x14ac:dyDescent="0.35">
      <c r="A68" s="2" t="s">
        <v>66</v>
      </c>
      <c r="B68" s="4">
        <v>0.32094288304623753</v>
      </c>
      <c r="C68" t="str">
        <f t="shared" si="2"/>
        <v/>
      </c>
      <c r="D68" t="str">
        <f t="shared" si="3"/>
        <v/>
      </c>
    </row>
    <row r="69" spans="1:4" x14ac:dyDescent="0.35">
      <c r="A69" s="2" t="s">
        <v>67</v>
      </c>
      <c r="B69" s="4">
        <v>0.30792520035618876</v>
      </c>
      <c r="C69" t="str">
        <f t="shared" si="2"/>
        <v/>
      </c>
      <c r="D69" t="str">
        <f t="shared" si="3"/>
        <v/>
      </c>
    </row>
    <row r="70" spans="1:4" x14ac:dyDescent="0.35">
      <c r="A70" s="2" t="s">
        <v>68</v>
      </c>
      <c r="B70" s="4">
        <v>0.3117736230419404</v>
      </c>
      <c r="C70" t="str">
        <f t="shared" si="2"/>
        <v/>
      </c>
      <c r="D70" t="str">
        <f t="shared" si="3"/>
        <v/>
      </c>
    </row>
    <row r="71" spans="1:4" x14ac:dyDescent="0.35">
      <c r="A71" s="2" t="s">
        <v>69</v>
      </c>
      <c r="B71" s="4">
        <v>0.36868901145523969</v>
      </c>
      <c r="C71" t="str">
        <f t="shared" si="2"/>
        <v/>
      </c>
      <c r="D71" t="str">
        <f t="shared" si="3"/>
        <v/>
      </c>
    </row>
    <row r="72" spans="1:4" x14ac:dyDescent="0.35">
      <c r="A72" s="2" t="s">
        <v>70</v>
      </c>
      <c r="B72" s="4">
        <v>0.30967184801381692</v>
      </c>
      <c r="C72" t="str">
        <f t="shared" si="2"/>
        <v/>
      </c>
      <c r="D72" t="str">
        <f t="shared" si="3"/>
        <v/>
      </c>
    </row>
    <row r="73" spans="1:4" x14ac:dyDescent="0.35">
      <c r="A73" s="2" t="s">
        <v>71</v>
      </c>
      <c r="B73" s="4">
        <v>0.19117647058823528</v>
      </c>
      <c r="C73" t="str">
        <f t="shared" si="2"/>
        <v/>
      </c>
      <c r="D73" t="str">
        <f t="shared" si="3"/>
        <v/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Sheet3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Kessler, Aaron</dc:creator>
  <cp:lastModifiedBy>Kessler, Aaron</cp:lastModifiedBy>
  <dcterms:created xsi:type="dcterms:W3CDTF">2020-05-26T21:23:35Z</dcterms:created>
  <dcterms:modified xsi:type="dcterms:W3CDTF">2020-05-26T21:42:39Z</dcterms:modified>
</cp:coreProperties>
</file>